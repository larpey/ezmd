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ookup" sheetId="3" state="hidden" r:id="rId3"/>
  </sheets>
  <definedNames>
    <definedName name="SiteCodes">Lookup!$A$2:$B$3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Carol Diaz</author>
  </authors>
  <commentList>
    <comment ref="C2" authorId="0" shapeId="0">
      <text>
        <t>Counted twice by two volunteers.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t="inlineStr">
        <is>
          <t>Visit date</t>
        </is>
      </c>
      <c r="C1" t="inlineStr">
        <is>
          <t>Species</t>
        </is>
      </c>
      <c r="D1" t="inlineStr">
        <is>
          <t>Share</t>
        </is>
      </c>
      <c r="E1" t="inlineStr">
        <is>
          <t>Cost</t>
        </is>
      </c>
    </row>
    <row r="2">
      <c r="A2" t="inlineStr">
        <is>
          <t>North pond</t>
        </is>
      </c>
      <c r="B2" s="2" t="n">
        <v>45750</v>
      </c>
      <c r="C2" t="n">
        <v>14</v>
      </c>
      <c r="D2" s="3" t="n">
        <v>0.25</v>
      </c>
      <c r="E2" s="4" t="n">
        <v>120.5</v>
      </c>
    </row>
    <row r="3">
      <c r="A3" t="inlineStr">
        <is>
          <t>South pond</t>
        </is>
      </c>
      <c r="B3" s="2" t="n">
        <v>45757</v>
      </c>
      <c r="C3" t="n">
        <v>9</v>
      </c>
      <c r="D3" s="3" t="n">
        <v>0.125</v>
      </c>
      <c r="E3" s="4" t="n">
        <v>80</v>
      </c>
    </row>
    <row r="4">
      <c r="A4" t="inlineStr">
        <is>
          <t>East pond</t>
        </is>
      </c>
      <c r="B4" s="2" t="n">
        <v>45779</v>
      </c>
      <c r="C4" t="n">
        <v>11</v>
      </c>
      <c r="D4" s="3" t="n">
        <v>0.5</v>
      </c>
      <c r="E4" s="4" t="n">
        <v>95.25</v>
      </c>
    </row>
    <row r="5">
      <c r="A5" t="inlineStr">
        <is>
          <t>Total</t>
        </is>
      </c>
      <c r="C5">
        <f>SUM(C2:C4)</f>
        <v>34</v>
        <v/>
      </c>
      <c r="E5" s="4">
        <f>SUM(E2:E4)</f>
        <v>295.75</v>
        <v/>
      </c>
    </row>
    <row r="8">
      <c r="A8" t="inlineStr">
        <is>
          <t>Notes</t>
        </is>
      </c>
    </row>
    <row r="9">
      <c r="A9" t="inlineStr">
        <is>
          <t>Rain on 10 April</t>
        </is>
      </c>
      <c r="B9" t="e">
        <f>#REF!+1</f>
        <v>#REF!</v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totals</t>
        </is>
      </c>
    </row>
    <row r="2">
      <c r="A2" t="inlineStr">
        <is>
          <t>Season</t>
        </is>
      </c>
      <c r="B2" t="inlineStr">
        <is>
          <t>Plants</t>
        </is>
      </c>
      <c r="C2" t="inlineStr">
        <is>
          <t>Animals</t>
        </is>
      </c>
    </row>
    <row r="3">
      <c r="A3" t="inlineStr">
        <is>
          <t>Spring</t>
        </is>
      </c>
      <c r="B3" t="n">
        <v>12</v>
      </c>
      <c r="C3" t="n">
        <v>7</v>
      </c>
    </row>
    <row r="4">
      <c r="A4" t="inlineStr">
        <is>
          <t>Summer</t>
        </is>
      </c>
      <c r="B4" t="n">
        <v>18</v>
      </c>
      <c r="C4" t="n">
        <v>11</v>
      </c>
    </row>
    <row r="5">
      <c r="A5" t="inlineStr">
        <is>
          <t>All</t>
        </is>
      </c>
      <c r="B5">
        <f>B3+B4</f>
        <v>30</v>
        <v/>
      </c>
      <c r="C5">
        <f>C3+C4</f>
        <v>18</v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NP</t>
        </is>
      </c>
      <c r="B2" t="inlineStr">
        <is>
          <t>North pond</t>
        </is>
      </c>
    </row>
    <row r="3">
      <c r="A3" t="inlineStr">
        <is>
          <t>SP</t>
        </is>
      </c>
      <c r="B3" t="inlineStr">
        <is>
          <t>South pond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Field Team</dc:creator>
  <dc:title xmlns:dc="http://purl.org/dc/elements/1.1/">Pond Survey Workbook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